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aa6b13d0a9b2d5/Desktop/Uc First Semester/Corporate Finance/Repositório Geral da Disciplina - 4ph1sl7r/"/>
    </mc:Choice>
  </mc:AlternateContent>
  <xr:revisionPtr revIDLastSave="656" documentId="8_{6FE6A2BA-A0AD-4D6B-A528-D49DAC983651}" xr6:coauthVersionLast="47" xr6:coauthVersionMax="47" xr10:uidLastSave="{873EF5FB-E90B-44CE-B390-C96FB6A8FCE4}"/>
  <bookViews>
    <workbookView xWindow="-108" yWindow="-108" windowWidth="23256" windowHeight="12456" xr2:uid="{17C3A199-F4E5-477C-94CF-5CBFB176FD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70" i="1"/>
  <c r="D71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70" i="1"/>
  <c r="E71" i="1"/>
  <c r="E2" i="1"/>
</calcChain>
</file>

<file path=xl/sharedStrings.xml><?xml version="1.0" encoding="utf-8"?>
<sst xmlns="http://schemas.openxmlformats.org/spreadsheetml/2006/main" count="155" uniqueCount="31">
  <si>
    <t>Total Assets</t>
  </si>
  <si>
    <t>Total Liabilities</t>
  </si>
  <si>
    <t>Total Equity</t>
  </si>
  <si>
    <t>Revenue</t>
  </si>
  <si>
    <t>Net Income</t>
  </si>
  <si>
    <t>Company</t>
  </si>
  <si>
    <t>Year</t>
  </si>
  <si>
    <t>ALTRI SGPS</t>
  </si>
  <si>
    <t>Banco Comercial Portugues</t>
  </si>
  <si>
    <t>Corticeira Amorim SGPS</t>
  </si>
  <si>
    <t>CTT - Telecorreios de Portugal</t>
  </si>
  <si>
    <t xml:space="preserve">EDP- Energias de Portugal </t>
  </si>
  <si>
    <t>Galp Energia SGPS</t>
  </si>
  <si>
    <t>Ibersol SGPS</t>
  </si>
  <si>
    <t>Jeronimo Martins, SGPS</t>
  </si>
  <si>
    <t>Mota-Engil SGPS</t>
  </si>
  <si>
    <t>NOS, SGPS</t>
  </si>
  <si>
    <t>REN - Redes Energeticas Nacionais, SGPS</t>
  </si>
  <si>
    <t>Semapa SGPS</t>
  </si>
  <si>
    <t>Sonae SGPS</t>
  </si>
  <si>
    <t>The Navigator Company</t>
  </si>
  <si>
    <t>Financial statement found</t>
  </si>
  <si>
    <t>Yes</t>
  </si>
  <si>
    <t xml:space="preserve"> Yes</t>
  </si>
  <si>
    <t>Firm_Size</t>
  </si>
  <si>
    <t>Leverage</t>
  </si>
  <si>
    <t>Board_Size</t>
  </si>
  <si>
    <t>Board_Independence</t>
  </si>
  <si>
    <t>Board_Diversity</t>
  </si>
  <si>
    <t>Return_on_Equity</t>
  </si>
  <si>
    <t>Return_on_Assets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</si>
</sst>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A67A-5BBA-4395-83E9-8E36ECDD20CD}">
  <dimension ref="A1:O71"/>
  <sheetViews>
    <sheetView tabSelected="1" workbookViewId="0">
      <pane ySplit="1" topLeftCell="A39" activePane="bottomLeft" state="frozen"/>
      <selection pane="bottomLeft" activeCell="A71" sqref="A71"/>
    </sheetView>
  </sheetViews>
  <sheetFormatPr defaultRowHeight="14.4" x14ac:dyDescent="0.3"/>
  <cols>
    <col min="1" max="1" width="35" bestFit="1" customWidth="1"/>
    <col min="2" max="2" width="5" bestFit="1" customWidth="1"/>
    <col min="3" max="3" width="22" bestFit="1" customWidth="1"/>
    <col min="4" max="4" width="18.88671875" bestFit="1" customWidth="1"/>
    <col min="5" max="5" width="19.5546875" bestFit="1" customWidth="1"/>
    <col min="6" max="7" width="19.5546875" customWidth="1"/>
    <col min="8" max="8" width="13.44140625" customWidth="1"/>
    <col min="9" max="9" width="15.21875" customWidth="1"/>
    <col min="10" max="10" width="12.77734375" bestFit="1" customWidth="1"/>
    <col min="11" max="11" width="14.44140625" customWidth="1"/>
    <col min="12" max="12" width="12.77734375" customWidth="1"/>
    <col min="13" max="13" width="22.88671875" bestFit="1" customWidth="1"/>
    <col min="14" max="14" width="45.21875" bestFit="1" customWidth="1"/>
    <col min="15" max="15" width="27" bestFit="1" customWidth="1"/>
  </cols>
  <sheetData>
    <row r="1" spans="1:15" x14ac:dyDescent="0.3">
      <c r="A1" t="s">
        <v>5</v>
      </c>
      <c r="B1" t="s">
        <v>6</v>
      </c>
      <c r="C1" t="s">
        <v>21</v>
      </c>
      <c r="D1" t="s">
        <v>29</v>
      </c>
      <c r="E1" t="s">
        <v>30</v>
      </c>
      <c r="F1" t="s">
        <v>24</v>
      </c>
      <c r="G1" t="s">
        <v>25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26</v>
      </c>
      <c r="N1" t="s">
        <v>27</v>
      </c>
      <c r="O1" t="s">
        <v>28</v>
      </c>
    </row>
    <row r="2" spans="1:15" x14ac:dyDescent="0.3">
      <c r="A2" t="s">
        <v>7</v>
      </c>
      <c r="B2">
        <v>2019</v>
      </c>
      <c r="C2" t="s">
        <v>22</v>
      </c>
      <c r="D2">
        <f>H2/K2</f>
        <v>0.29237386036117036</v>
      </c>
      <c r="E2">
        <f>H2/I2</f>
        <v>9.1914539780844517E-2</v>
      </c>
      <c r="F2">
        <f>LOG(I2)</f>
        <v>9.1709802536314786</v>
      </c>
      <c r="G2">
        <f>J2/I2</f>
        <v>0.68562668472721133</v>
      </c>
      <c r="H2" s="1">
        <v>136258772</v>
      </c>
      <c r="I2" s="1">
        <v>1482450680</v>
      </c>
      <c r="J2" s="1">
        <v>1016407745</v>
      </c>
      <c r="K2" s="1">
        <v>466042935</v>
      </c>
      <c r="L2" s="1">
        <v>731432731</v>
      </c>
      <c r="M2">
        <v>7</v>
      </c>
      <c r="N2">
        <v>1</v>
      </c>
      <c r="O2">
        <v>2</v>
      </c>
    </row>
    <row r="3" spans="1:15" x14ac:dyDescent="0.3">
      <c r="A3" t="s">
        <v>7</v>
      </c>
      <c r="B3">
        <v>2020</v>
      </c>
      <c r="C3" t="s">
        <v>22</v>
      </c>
      <c r="D3">
        <f t="shared" ref="D3:D66" si="0">H3/K3</f>
        <v>6.7211113143578E-2</v>
      </c>
      <c r="E3">
        <f t="shared" ref="E3:E66" si="1">H3/I3</f>
        <v>2.0142005388599848E-2</v>
      </c>
      <c r="F3">
        <f t="shared" ref="F3:F66" si="2">LOG(I3)</f>
        <v>9.1720114672723358</v>
      </c>
      <c r="G3">
        <f t="shared" ref="G3:G66" si="3">J3/I3</f>
        <v>0.70031733672418117</v>
      </c>
      <c r="H3" s="1">
        <v>29930514</v>
      </c>
      <c r="I3" s="1">
        <v>1485974878</v>
      </c>
      <c r="J3" s="1">
        <v>1040653969</v>
      </c>
      <c r="K3" s="1">
        <v>445320909</v>
      </c>
      <c r="L3" s="1">
        <v>604505125</v>
      </c>
      <c r="M3">
        <v>12</v>
      </c>
      <c r="N3">
        <v>4</v>
      </c>
      <c r="O3">
        <v>4</v>
      </c>
    </row>
    <row r="4" spans="1:15" x14ac:dyDescent="0.3">
      <c r="A4" t="s">
        <v>7</v>
      </c>
      <c r="B4">
        <v>2021</v>
      </c>
      <c r="C4" t="s">
        <v>22</v>
      </c>
      <c r="D4">
        <f t="shared" si="0"/>
        <v>0.20771631465130996</v>
      </c>
      <c r="E4">
        <f t="shared" si="1"/>
        <v>6.562745773082608E-2</v>
      </c>
      <c r="F4">
        <f t="shared" si="2"/>
        <v>9.3598475030275612</v>
      </c>
      <c r="G4">
        <f t="shared" si="3"/>
        <v>0.40059935808283315</v>
      </c>
      <c r="H4" s="1">
        <v>150291038</v>
      </c>
      <c r="I4" s="1">
        <v>2290063385</v>
      </c>
      <c r="J4" s="1">
        <v>917397922</v>
      </c>
      <c r="K4" s="1">
        <v>723539883</v>
      </c>
      <c r="L4" s="1">
        <v>775710375</v>
      </c>
      <c r="M4">
        <v>12</v>
      </c>
      <c r="N4">
        <v>3</v>
      </c>
      <c r="O4">
        <v>4</v>
      </c>
    </row>
    <row r="5" spans="1:15" x14ac:dyDescent="0.3">
      <c r="A5" t="s">
        <v>7</v>
      </c>
      <c r="B5">
        <v>2022</v>
      </c>
      <c r="C5" t="s">
        <v>22</v>
      </c>
      <c r="D5">
        <f t="shared" si="0"/>
        <v>0.33949221170384808</v>
      </c>
      <c r="E5">
        <f t="shared" si="1"/>
        <v>0.13818196704484154</v>
      </c>
      <c r="F5">
        <f t="shared" si="2"/>
        <v>9.1756171625135661</v>
      </c>
      <c r="G5">
        <f t="shared" si="3"/>
        <v>0.59297455941232924</v>
      </c>
      <c r="H5" s="1">
        <v>207046805</v>
      </c>
      <c r="I5" s="1">
        <v>1498363422</v>
      </c>
      <c r="J5" s="1">
        <v>888491390</v>
      </c>
      <c r="K5" s="1">
        <v>609872032</v>
      </c>
      <c r="L5" s="1">
        <v>1044951462</v>
      </c>
      <c r="M5">
        <v>12</v>
      </c>
      <c r="N5">
        <v>3</v>
      </c>
      <c r="O5">
        <v>4</v>
      </c>
    </row>
    <row r="6" spans="1:15" x14ac:dyDescent="0.3">
      <c r="A6" t="s">
        <v>7</v>
      </c>
      <c r="B6">
        <v>2023</v>
      </c>
      <c r="C6" t="s">
        <v>22</v>
      </c>
      <c r="D6">
        <f t="shared" si="0"/>
        <v>0.1138522543460527</v>
      </c>
      <c r="E6">
        <f t="shared" si="1"/>
        <v>3.5703141211345803E-2</v>
      </c>
      <c r="F6">
        <f t="shared" si="2"/>
        <v>9.118909243707229</v>
      </c>
      <c r="G6">
        <f t="shared" si="3"/>
        <v>0.68640813116597155</v>
      </c>
      <c r="H6" s="1">
        <v>46947846</v>
      </c>
      <c r="I6" s="1">
        <v>1314950013</v>
      </c>
      <c r="J6" s="1">
        <v>902592381</v>
      </c>
      <c r="K6" s="1">
        <v>412357632</v>
      </c>
      <c r="L6" s="1">
        <v>745117686</v>
      </c>
      <c r="M6">
        <v>15</v>
      </c>
      <c r="N6">
        <v>3</v>
      </c>
      <c r="O6">
        <v>5</v>
      </c>
    </row>
    <row r="7" spans="1:15" x14ac:dyDescent="0.3">
      <c r="A7" t="s">
        <v>8</v>
      </c>
      <c r="B7">
        <v>2019</v>
      </c>
      <c r="C7" t="s">
        <v>22</v>
      </c>
      <c r="D7">
        <f t="shared" si="0"/>
        <v>8.4980953100922962E-2</v>
      </c>
      <c r="E7">
        <f t="shared" si="1"/>
        <v>7.6829962806060229E-3</v>
      </c>
      <c r="F7">
        <f t="shared" si="2"/>
        <v>7.911921124960041</v>
      </c>
      <c r="G7">
        <f t="shared" si="3"/>
        <v>0.90959154963251898</v>
      </c>
      <c r="H7" s="1">
        <v>627266</v>
      </c>
      <c r="I7" s="1">
        <v>81643408</v>
      </c>
      <c r="J7" s="1">
        <v>74262154</v>
      </c>
      <c r="K7" s="1">
        <v>7381254</v>
      </c>
      <c r="L7" s="1">
        <v>1548528</v>
      </c>
      <c r="M7">
        <v>17</v>
      </c>
      <c r="N7">
        <v>5</v>
      </c>
      <c r="O7">
        <v>4</v>
      </c>
    </row>
    <row r="8" spans="1:15" x14ac:dyDescent="0.3">
      <c r="A8" t="s">
        <v>8</v>
      </c>
      <c r="B8">
        <v>2020</v>
      </c>
      <c r="C8" t="s">
        <v>22</v>
      </c>
      <c r="D8">
        <f t="shared" si="0"/>
        <v>4.6709502902006018E-2</v>
      </c>
      <c r="E8">
        <f t="shared" si="1"/>
        <v>4.0204550288235217E-3</v>
      </c>
      <c r="F8">
        <f t="shared" si="2"/>
        <v>7.93355521570912</v>
      </c>
      <c r="G8">
        <f t="shared" si="3"/>
        <v>0.91392640085983756</v>
      </c>
      <c r="H8">
        <v>345009</v>
      </c>
      <c r="I8" s="1">
        <v>85813421</v>
      </c>
      <c r="J8" s="1">
        <v>78427151</v>
      </c>
      <c r="K8" s="1">
        <v>7386270</v>
      </c>
      <c r="L8" s="1">
        <v>1533175</v>
      </c>
      <c r="M8">
        <v>17</v>
      </c>
      <c r="N8">
        <v>5</v>
      </c>
      <c r="O8">
        <v>4</v>
      </c>
    </row>
    <row r="9" spans="1:15" x14ac:dyDescent="0.3">
      <c r="A9" t="s">
        <v>8</v>
      </c>
      <c r="B9">
        <v>2021</v>
      </c>
      <c r="C9" t="s">
        <v>22</v>
      </c>
      <c r="D9">
        <f t="shared" si="0"/>
        <v>2.2335843508484853E-2</v>
      </c>
      <c r="E9">
        <f t="shared" si="1"/>
        <v>1.6978345534997693E-3</v>
      </c>
      <c r="F9">
        <f t="shared" si="2"/>
        <v>7.9680382088367505</v>
      </c>
      <c r="G9">
        <f t="shared" si="3"/>
        <v>0.92398610095675127</v>
      </c>
      <c r="H9" s="1">
        <v>157737</v>
      </c>
      <c r="I9" s="1">
        <v>92904812</v>
      </c>
      <c r="J9" s="1">
        <v>85842755</v>
      </c>
      <c r="K9" s="1">
        <v>7062057</v>
      </c>
      <c r="L9" s="1">
        <v>1588601</v>
      </c>
      <c r="M9">
        <v>17</v>
      </c>
      <c r="N9">
        <v>5</v>
      </c>
      <c r="O9">
        <v>4</v>
      </c>
    </row>
    <row r="10" spans="1:15" x14ac:dyDescent="0.3">
      <c r="A10" t="s">
        <v>8</v>
      </c>
      <c r="B10">
        <v>2022</v>
      </c>
      <c r="C10" t="s">
        <v>22</v>
      </c>
      <c r="D10">
        <f t="shared" si="0"/>
        <v>7.2367755442259318E-2</v>
      </c>
      <c r="E10">
        <f t="shared" si="1"/>
        <v>4.7680327230613939E-3</v>
      </c>
      <c r="F10">
        <f t="shared" si="2"/>
        <v>7.9535690289087695</v>
      </c>
      <c r="G10">
        <f t="shared" si="3"/>
        <v>0.93411385092818433</v>
      </c>
      <c r="H10" s="1">
        <v>428458</v>
      </c>
      <c r="I10" s="1">
        <v>89860541</v>
      </c>
      <c r="J10" s="1">
        <v>83939976</v>
      </c>
      <c r="K10" s="1">
        <v>5920565</v>
      </c>
      <c r="L10" s="1">
        <v>2149772</v>
      </c>
      <c r="M10">
        <v>17</v>
      </c>
      <c r="N10">
        <v>5</v>
      </c>
      <c r="O10">
        <v>6</v>
      </c>
    </row>
    <row r="11" spans="1:15" x14ac:dyDescent="0.3">
      <c r="A11" t="s">
        <v>8</v>
      </c>
      <c r="B11">
        <v>2023</v>
      </c>
      <c r="C11" t="s">
        <v>22</v>
      </c>
      <c r="D11">
        <f t="shared" si="0"/>
        <v>0.20382661930998541</v>
      </c>
      <c r="E11">
        <f t="shared" si="1"/>
        <v>1.5764309172246624E-2</v>
      </c>
      <c r="F11">
        <f t="shared" si="2"/>
        <v>7.9748789514611751</v>
      </c>
      <c r="G11">
        <f t="shared" si="3"/>
        <v>0.9226582414720238</v>
      </c>
      <c r="H11" s="1">
        <v>1487832</v>
      </c>
      <c r="I11" s="1">
        <v>94379778</v>
      </c>
      <c r="J11" s="1">
        <v>87080280</v>
      </c>
      <c r="K11" s="1">
        <v>7299498</v>
      </c>
      <c r="L11" s="1">
        <v>2825724</v>
      </c>
      <c r="M11">
        <v>17</v>
      </c>
      <c r="N11">
        <v>5</v>
      </c>
      <c r="O11">
        <v>6</v>
      </c>
    </row>
    <row r="12" spans="1:15" x14ac:dyDescent="0.3">
      <c r="A12" t="s">
        <v>9</v>
      </c>
      <c r="B12">
        <v>2019</v>
      </c>
      <c r="C12" t="s">
        <v>22</v>
      </c>
      <c r="D12">
        <f t="shared" si="0"/>
        <v>0.16942486511733079</v>
      </c>
      <c r="E12">
        <f t="shared" si="1"/>
        <v>9.1949721974104559E-2</v>
      </c>
      <c r="F12">
        <f t="shared" si="2"/>
        <v>5.9974527905487323</v>
      </c>
      <c r="G12">
        <f t="shared" si="3"/>
        <v>0.45728218622504407</v>
      </c>
      <c r="H12" s="1">
        <v>91412</v>
      </c>
      <c r="I12" s="1">
        <v>994152</v>
      </c>
      <c r="J12" s="1">
        <v>454608</v>
      </c>
      <c r="K12" s="1">
        <v>539543</v>
      </c>
      <c r="L12" s="1">
        <v>781060</v>
      </c>
      <c r="M12">
        <v>6</v>
      </c>
      <c r="N12">
        <v>0</v>
      </c>
      <c r="O12">
        <v>2</v>
      </c>
    </row>
    <row r="13" spans="1:15" x14ac:dyDescent="0.3">
      <c r="A13" t="s">
        <v>9</v>
      </c>
      <c r="B13">
        <v>2020</v>
      </c>
      <c r="C13" t="s">
        <v>22</v>
      </c>
      <c r="D13">
        <f t="shared" si="0"/>
        <v>0.13892684720179796</v>
      </c>
      <c r="E13">
        <f t="shared" si="1"/>
        <v>7.9660211358637503E-2</v>
      </c>
      <c r="F13">
        <f t="shared" si="2"/>
        <v>6.0024615407448332</v>
      </c>
      <c r="G13">
        <f t="shared" si="3"/>
        <v>0.4266041818304756</v>
      </c>
      <c r="H13" s="1">
        <v>80113</v>
      </c>
      <c r="I13" s="1">
        <v>1005684</v>
      </c>
      <c r="J13" s="1">
        <v>429029</v>
      </c>
      <c r="K13" s="1">
        <v>576656</v>
      </c>
      <c r="L13" s="1">
        <v>740113</v>
      </c>
      <c r="M13">
        <v>6</v>
      </c>
      <c r="N13">
        <v>0</v>
      </c>
      <c r="O13">
        <v>2</v>
      </c>
    </row>
    <row r="14" spans="1:15" x14ac:dyDescent="0.3">
      <c r="A14" t="s">
        <v>9</v>
      </c>
      <c r="B14">
        <v>2021</v>
      </c>
      <c r="C14" t="s">
        <v>22</v>
      </c>
      <c r="D14">
        <f t="shared" si="0"/>
        <v>0.16278159359392122</v>
      </c>
      <c r="E14">
        <f t="shared" si="1"/>
        <v>9.3831528851213694E-2</v>
      </c>
      <c r="F14">
        <f t="shared" si="2"/>
        <v>6.0339417849161903</v>
      </c>
      <c r="G14">
        <f t="shared" si="3"/>
        <v>0.42357501093602173</v>
      </c>
      <c r="H14" s="1">
        <v>101459</v>
      </c>
      <c r="I14" s="1">
        <v>1081289</v>
      </c>
      <c r="J14" s="1">
        <v>458007</v>
      </c>
      <c r="K14" s="1">
        <v>623283</v>
      </c>
      <c r="L14" s="1">
        <v>837820</v>
      </c>
      <c r="M14">
        <v>10</v>
      </c>
      <c r="N14">
        <v>4</v>
      </c>
      <c r="O14">
        <v>4</v>
      </c>
    </row>
    <row r="15" spans="1:15" x14ac:dyDescent="0.3">
      <c r="A15" t="s">
        <v>9</v>
      </c>
      <c r="B15">
        <v>2022</v>
      </c>
      <c r="C15" t="s">
        <v>22</v>
      </c>
      <c r="D15">
        <f t="shared" si="0"/>
        <v>0.15648668458343512</v>
      </c>
      <c r="E15">
        <f t="shared" si="1"/>
        <v>9.1837651144395877E-2</v>
      </c>
      <c r="F15">
        <f t="shared" si="2"/>
        <v>6.1035697544604073</v>
      </c>
      <c r="G15">
        <f t="shared" si="3"/>
        <v>0.41312801540357169</v>
      </c>
      <c r="H15" s="1">
        <v>116571</v>
      </c>
      <c r="I15" s="1">
        <v>1269316</v>
      </c>
      <c r="J15" s="1">
        <v>524390</v>
      </c>
      <c r="K15" s="1">
        <v>744926</v>
      </c>
      <c r="L15" s="1">
        <v>1021391</v>
      </c>
      <c r="M15">
        <v>10</v>
      </c>
      <c r="N15">
        <v>4</v>
      </c>
      <c r="O15">
        <v>4</v>
      </c>
    </row>
    <row r="16" spans="1:15" x14ac:dyDescent="0.3">
      <c r="A16" t="s">
        <v>9</v>
      </c>
      <c r="B16">
        <v>2023</v>
      </c>
      <c r="C16" t="s">
        <v>22</v>
      </c>
      <c r="D16">
        <f t="shared" si="0"/>
        <v>0.15129042902640355</v>
      </c>
      <c r="E16">
        <f t="shared" si="1"/>
        <v>8.5526329735554421E-2</v>
      </c>
      <c r="F16">
        <f t="shared" si="2"/>
        <v>6.150825491796911</v>
      </c>
      <c r="G16">
        <f t="shared" si="3"/>
        <v>0.43468847709728137</v>
      </c>
      <c r="H16" s="1">
        <v>121039</v>
      </c>
      <c r="I16" s="1">
        <v>1415225</v>
      </c>
      <c r="J16" s="1">
        <v>615182</v>
      </c>
      <c r="K16" s="1">
        <v>800044</v>
      </c>
      <c r="L16" s="1">
        <v>985467</v>
      </c>
      <c r="M16">
        <v>10</v>
      </c>
      <c r="N16">
        <v>4</v>
      </c>
      <c r="O16">
        <v>4</v>
      </c>
    </row>
    <row r="17" spans="1:15" x14ac:dyDescent="0.3">
      <c r="A17" t="s">
        <v>10</v>
      </c>
      <c r="B17">
        <v>2019</v>
      </c>
      <c r="C17" t="s">
        <v>22</v>
      </c>
      <c r="D17">
        <f t="shared" si="0"/>
        <v>0.27034342642280557</v>
      </c>
      <c r="E17" s="2">
        <f t="shared" si="1"/>
        <v>1.4134871022215209E-2</v>
      </c>
      <c r="F17">
        <f t="shared" si="2"/>
        <v>9.40026867855617</v>
      </c>
      <c r="G17">
        <f t="shared" si="3"/>
        <v>0.94771512956964277</v>
      </c>
      <c r="H17" s="1">
        <v>35527163</v>
      </c>
      <c r="I17" s="1">
        <v>2513440904</v>
      </c>
      <c r="J17" s="1">
        <v>2382025972</v>
      </c>
      <c r="K17" s="1">
        <v>131414932</v>
      </c>
      <c r="L17" s="1">
        <v>688021669</v>
      </c>
      <c r="M17">
        <v>14</v>
      </c>
      <c r="N17">
        <v>7</v>
      </c>
      <c r="O17">
        <v>3</v>
      </c>
    </row>
    <row r="18" spans="1:15" x14ac:dyDescent="0.3">
      <c r="A18" t="s">
        <v>10</v>
      </c>
      <c r="B18">
        <v>2020</v>
      </c>
      <c r="C18" t="s">
        <v>22</v>
      </c>
      <c r="D18">
        <f t="shared" si="0"/>
        <v>0.15388782255561256</v>
      </c>
      <c r="E18">
        <f t="shared" si="1"/>
        <v>7.9883540096660922E-3</v>
      </c>
      <c r="F18">
        <f t="shared" si="2"/>
        <v>9.4616339602216257</v>
      </c>
      <c r="G18">
        <f t="shared" si="3"/>
        <v>0.94808975865014122</v>
      </c>
      <c r="H18" s="1">
        <v>23125507</v>
      </c>
      <c r="I18" s="1">
        <v>2894902626</v>
      </c>
      <c r="J18" s="1">
        <v>2744627532</v>
      </c>
      <c r="K18" s="1">
        <v>150275094</v>
      </c>
      <c r="L18" s="1">
        <v>672854025</v>
      </c>
      <c r="M18">
        <v>14</v>
      </c>
      <c r="N18">
        <v>7</v>
      </c>
      <c r="O18">
        <v>3</v>
      </c>
    </row>
    <row r="19" spans="1:15" x14ac:dyDescent="0.3">
      <c r="A19" t="s">
        <v>10</v>
      </c>
      <c r="B19">
        <v>2021</v>
      </c>
      <c r="C19" t="s">
        <v>22</v>
      </c>
      <c r="D19">
        <f t="shared" si="0"/>
        <v>0.29108361071139333</v>
      </c>
      <c r="E19">
        <f t="shared" si="1"/>
        <v>1.4171460411800596E-2</v>
      </c>
      <c r="F19">
        <f t="shared" si="2"/>
        <v>9.5545132179191921</v>
      </c>
      <c r="G19">
        <f t="shared" si="3"/>
        <v>0.95131481165440313</v>
      </c>
      <c r="H19" s="1">
        <v>50807500</v>
      </c>
      <c r="I19" s="1">
        <v>3585198598</v>
      </c>
      <c r="J19" s="1">
        <v>3410652529</v>
      </c>
      <c r="K19" s="1">
        <v>174546069</v>
      </c>
      <c r="L19" s="1">
        <v>757727347</v>
      </c>
      <c r="M19" s="1">
        <v>14</v>
      </c>
      <c r="N19" s="1">
        <v>6</v>
      </c>
      <c r="O19" s="1">
        <v>5</v>
      </c>
    </row>
    <row r="20" spans="1:15" x14ac:dyDescent="0.3">
      <c r="A20" t="s">
        <v>10</v>
      </c>
      <c r="B20">
        <v>2022</v>
      </c>
      <c r="C20" t="s">
        <v>22</v>
      </c>
      <c r="D20">
        <f t="shared" si="0"/>
        <v>0.20768213588867296</v>
      </c>
      <c r="E20">
        <f t="shared" si="1"/>
        <v>1.1512993189114633E-2</v>
      </c>
      <c r="F20">
        <f t="shared" si="2"/>
        <v>9.6082572653764871</v>
      </c>
      <c r="G20">
        <f t="shared" si="3"/>
        <v>0.94456435485001888</v>
      </c>
      <c r="H20" s="1">
        <v>46713834</v>
      </c>
      <c r="I20" s="1">
        <v>4057488199</v>
      </c>
      <c r="J20" s="1">
        <v>3832558723</v>
      </c>
      <c r="K20" s="1">
        <v>224929476</v>
      </c>
      <c r="L20" s="1">
        <v>788581734</v>
      </c>
      <c r="M20">
        <v>14</v>
      </c>
      <c r="N20">
        <v>6</v>
      </c>
      <c r="O20">
        <v>5</v>
      </c>
    </row>
    <row r="21" spans="1:15" x14ac:dyDescent="0.3">
      <c r="A21" t="s">
        <v>10</v>
      </c>
      <c r="B21">
        <v>2023</v>
      </c>
      <c r="C21" t="s">
        <v>22</v>
      </c>
      <c r="D21">
        <f t="shared" si="0"/>
        <v>0.24299090223078712</v>
      </c>
      <c r="E21">
        <f t="shared" si="1"/>
        <v>1.2937307368331721E-2</v>
      </c>
      <c r="F21">
        <f t="shared" si="2"/>
        <v>9.6773004620664675</v>
      </c>
      <c r="G21">
        <f t="shared" si="3"/>
        <v>0.94675805863692719</v>
      </c>
      <c r="H21" s="1">
        <v>61538139</v>
      </c>
      <c r="I21" s="1">
        <v>4756641954</v>
      </c>
      <c r="J21" s="1">
        <v>4503389102</v>
      </c>
      <c r="K21" s="1">
        <v>253252852</v>
      </c>
      <c r="L21" s="1">
        <v>844606406</v>
      </c>
      <c r="M21">
        <v>14</v>
      </c>
      <c r="N21">
        <v>5</v>
      </c>
      <c r="O21">
        <v>5</v>
      </c>
    </row>
    <row r="22" spans="1:15" x14ac:dyDescent="0.3">
      <c r="A22" t="s">
        <v>11</v>
      </c>
      <c r="B22">
        <v>2019</v>
      </c>
      <c r="C22" t="s">
        <v>22</v>
      </c>
      <c r="D22">
        <f t="shared" si="0"/>
        <v>9.4498398632110334E-2</v>
      </c>
      <c r="E22">
        <f t="shared" si="1"/>
        <v>2.8178909761910575E-2</v>
      </c>
      <c r="F22">
        <f t="shared" si="2"/>
        <v>7.6269728266674823</v>
      </c>
      <c r="G22">
        <f t="shared" si="3"/>
        <v>0.7018054255965408</v>
      </c>
      <c r="H22" s="1">
        <v>1193705</v>
      </c>
      <c r="I22" s="1">
        <v>42361646</v>
      </c>
      <c r="J22" s="1">
        <v>29729633</v>
      </c>
      <c r="K22" s="1">
        <v>12632013</v>
      </c>
      <c r="L22" s="1">
        <v>14333009</v>
      </c>
      <c r="M22">
        <v>21</v>
      </c>
      <c r="N22">
        <v>10</v>
      </c>
      <c r="O22">
        <v>5</v>
      </c>
    </row>
    <row r="23" spans="1:15" x14ac:dyDescent="0.3">
      <c r="A23" t="s">
        <v>11</v>
      </c>
      <c r="B23">
        <v>2020</v>
      </c>
      <c r="C23" t="s">
        <v>22</v>
      </c>
      <c r="D23">
        <f t="shared" si="0"/>
        <v>0.11740067159545171</v>
      </c>
      <c r="E23">
        <f t="shared" si="1"/>
        <v>3.5751548608425457E-2</v>
      </c>
      <c r="F23">
        <f t="shared" si="2"/>
        <v>7.6329306378372506</v>
      </c>
      <c r="G23">
        <f t="shared" si="3"/>
        <v>0.69547407078197221</v>
      </c>
      <c r="H23" s="1">
        <v>1535414</v>
      </c>
      <c r="I23" s="1">
        <v>42946783</v>
      </c>
      <c r="J23" s="1">
        <v>29868374</v>
      </c>
      <c r="K23" s="1">
        <v>13078409</v>
      </c>
      <c r="L23" s="1">
        <v>12448205</v>
      </c>
      <c r="M23">
        <v>21</v>
      </c>
      <c r="N23">
        <v>10</v>
      </c>
      <c r="O23">
        <v>5</v>
      </c>
    </row>
    <row r="24" spans="1:15" x14ac:dyDescent="0.3">
      <c r="A24" t="s">
        <v>11</v>
      </c>
      <c r="B24">
        <v>2021</v>
      </c>
      <c r="C24" t="s">
        <v>22</v>
      </c>
      <c r="D24">
        <f t="shared" si="0"/>
        <v>0.10158078320508615</v>
      </c>
      <c r="E24">
        <f t="shared" si="1"/>
        <v>2.7843428007195806E-2</v>
      </c>
      <c r="F24">
        <f t="shared" si="2"/>
        <v>7.7075203741419784</v>
      </c>
      <c r="G24">
        <f t="shared" si="3"/>
        <v>0.72589866775311807</v>
      </c>
      <c r="H24" s="1">
        <v>1419852</v>
      </c>
      <c r="I24" s="1">
        <v>50994152</v>
      </c>
      <c r="J24" s="1">
        <v>37016587</v>
      </c>
      <c r="K24" s="1">
        <v>13977565</v>
      </c>
      <c r="L24" s="1">
        <v>14982909</v>
      </c>
      <c r="M24">
        <v>16</v>
      </c>
      <c r="N24">
        <v>9</v>
      </c>
      <c r="O24">
        <v>5</v>
      </c>
    </row>
    <row r="25" spans="1:15" x14ac:dyDescent="0.3">
      <c r="A25" t="s">
        <v>11</v>
      </c>
      <c r="B25">
        <v>2022</v>
      </c>
      <c r="C25" t="s">
        <v>22</v>
      </c>
      <c r="D25">
        <f t="shared" si="0"/>
        <v>0.11708123569529401</v>
      </c>
      <c r="E25">
        <f t="shared" si="1"/>
        <v>2.7539473634322912E-2</v>
      </c>
      <c r="F25">
        <f t="shared" si="2"/>
        <v>7.7694985201633946</v>
      </c>
      <c r="G25">
        <f t="shared" si="3"/>
        <v>0.76478319970934638</v>
      </c>
      <c r="H25" s="1">
        <v>1619773</v>
      </c>
      <c r="I25" s="1">
        <v>58816411</v>
      </c>
      <c r="J25" s="1">
        <v>44981803</v>
      </c>
      <c r="K25" s="1">
        <v>13834608</v>
      </c>
      <c r="L25" s="1">
        <v>20650764</v>
      </c>
      <c r="M25" s="1">
        <v>16</v>
      </c>
      <c r="N25" s="1">
        <v>9</v>
      </c>
      <c r="O25" s="1">
        <v>5</v>
      </c>
    </row>
    <row r="26" spans="1:15" x14ac:dyDescent="0.3">
      <c r="A26" t="s">
        <v>11</v>
      </c>
      <c r="B26">
        <v>2023</v>
      </c>
      <c r="C26" t="s">
        <v>22</v>
      </c>
      <c r="D26">
        <f t="shared" si="0"/>
        <v>0.11334552014573265</v>
      </c>
      <c r="E26">
        <f t="shared" si="1"/>
        <v>3.3299554749895911E-2</v>
      </c>
      <c r="F26">
        <f t="shared" si="2"/>
        <v>7.7535575825998855</v>
      </c>
      <c r="G26">
        <f t="shared" si="3"/>
        <v>0.70621199049524497</v>
      </c>
      <c r="H26" s="1">
        <v>1887974</v>
      </c>
      <c r="I26" s="1">
        <v>56696674</v>
      </c>
      <c r="J26" s="1">
        <v>40039871</v>
      </c>
      <c r="K26" s="1">
        <v>16656803</v>
      </c>
      <c r="L26" s="1">
        <v>16202308</v>
      </c>
      <c r="M26" s="1">
        <v>16</v>
      </c>
      <c r="N26" s="1">
        <v>9</v>
      </c>
      <c r="O26" s="1">
        <v>5</v>
      </c>
    </row>
    <row r="27" spans="1:15" x14ac:dyDescent="0.3">
      <c r="A27" t="s">
        <v>12</v>
      </c>
      <c r="B27">
        <v>2019</v>
      </c>
      <c r="C27" t="s">
        <v>22</v>
      </c>
      <c r="D27">
        <f t="shared" si="0"/>
        <v>0.2260915679688881</v>
      </c>
      <c r="E27">
        <f t="shared" si="1"/>
        <v>9.2883079157588963E-2</v>
      </c>
      <c r="F27">
        <f t="shared" si="2"/>
        <v>4.1389339402569236</v>
      </c>
      <c r="G27">
        <f t="shared" si="3"/>
        <v>0.58917937545388521</v>
      </c>
      <c r="H27" s="1">
        <v>1279</v>
      </c>
      <c r="I27" s="1">
        <v>13770</v>
      </c>
      <c r="J27" s="1">
        <v>8113</v>
      </c>
      <c r="K27" s="1">
        <v>5657</v>
      </c>
      <c r="L27" s="1">
        <v>15962</v>
      </c>
      <c r="M27" s="1">
        <v>19</v>
      </c>
      <c r="N27" s="1">
        <v>5</v>
      </c>
      <c r="O27" s="1">
        <v>4</v>
      </c>
    </row>
    <row r="28" spans="1:15" x14ac:dyDescent="0.3">
      <c r="A28" t="s">
        <v>12</v>
      </c>
      <c r="B28">
        <v>2020</v>
      </c>
      <c r="C28" t="s">
        <v>22</v>
      </c>
      <c r="D28">
        <f t="shared" si="0"/>
        <v>-6.0487804878048779E-2</v>
      </c>
      <c r="E28">
        <f t="shared" si="1"/>
        <v>-1.9852705731668269E-2</v>
      </c>
      <c r="F28">
        <f t="shared" si="2"/>
        <v>4.0966319755581608</v>
      </c>
      <c r="G28">
        <f t="shared" si="3"/>
        <v>0.67178994556516169</v>
      </c>
      <c r="H28" s="1">
        <v>-248</v>
      </c>
      <c r="I28" s="1">
        <v>12492</v>
      </c>
      <c r="J28" s="1">
        <v>8392</v>
      </c>
      <c r="K28" s="1">
        <v>4100</v>
      </c>
      <c r="L28" s="1">
        <v>10771</v>
      </c>
      <c r="M28" s="1">
        <v>19</v>
      </c>
      <c r="N28" s="1">
        <v>5</v>
      </c>
      <c r="O28" s="1">
        <v>3</v>
      </c>
    </row>
    <row r="29" spans="1:15" x14ac:dyDescent="0.3">
      <c r="A29" t="s">
        <v>12</v>
      </c>
      <c r="B29">
        <v>2021</v>
      </c>
      <c r="C29" t="s">
        <v>22</v>
      </c>
      <c r="D29">
        <f t="shared" si="0"/>
        <v>0.21234256926952141</v>
      </c>
      <c r="E29">
        <f t="shared" si="1"/>
        <v>5.6531652360515022E-2</v>
      </c>
      <c r="F29">
        <f t="shared" si="2"/>
        <v>4.1735358950099064</v>
      </c>
      <c r="G29">
        <f t="shared" si="3"/>
        <v>0.73377145922746778</v>
      </c>
      <c r="H29" s="1">
        <v>843</v>
      </c>
      <c r="I29" s="1">
        <v>14912</v>
      </c>
      <c r="J29" s="1">
        <v>10942</v>
      </c>
      <c r="K29" s="1">
        <v>3970</v>
      </c>
      <c r="L29" s="1">
        <v>15618</v>
      </c>
      <c r="M29" s="1">
        <v>19</v>
      </c>
      <c r="N29" s="1">
        <v>6</v>
      </c>
      <c r="O29" s="1">
        <v>2</v>
      </c>
    </row>
    <row r="30" spans="1:15" x14ac:dyDescent="0.3">
      <c r="A30" t="s">
        <v>12</v>
      </c>
      <c r="B30">
        <v>2022</v>
      </c>
      <c r="C30" t="s">
        <v>22</v>
      </c>
      <c r="D30">
        <f t="shared" si="0"/>
        <v>0.63435606800859878</v>
      </c>
      <c r="E30">
        <f t="shared" si="1"/>
        <v>0.20166500994035785</v>
      </c>
      <c r="F30">
        <f t="shared" si="2"/>
        <v>4.2067179633758336</v>
      </c>
      <c r="G30">
        <f t="shared" si="3"/>
        <v>0.68209493041749503</v>
      </c>
      <c r="H30" s="1">
        <v>3246</v>
      </c>
      <c r="I30" s="1">
        <v>16096</v>
      </c>
      <c r="J30" s="1">
        <v>10979</v>
      </c>
      <c r="K30" s="1">
        <v>5117</v>
      </c>
      <c r="L30" s="1">
        <v>26485</v>
      </c>
      <c r="M30" s="1">
        <v>19</v>
      </c>
      <c r="N30" s="1">
        <v>7</v>
      </c>
      <c r="O30" s="1">
        <v>3</v>
      </c>
    </row>
    <row r="31" spans="1:15" x14ac:dyDescent="0.3">
      <c r="A31" t="s">
        <v>12</v>
      </c>
      <c r="B31">
        <v>2023</v>
      </c>
      <c r="C31" t="s">
        <v>22</v>
      </c>
      <c r="D31">
        <f t="shared" si="0"/>
        <v>0.48508162882341904</v>
      </c>
      <c r="E31">
        <f t="shared" si="1"/>
        <v>0.15566662652053476</v>
      </c>
      <c r="F31">
        <f t="shared" si="2"/>
        <v>4.220265033587232</v>
      </c>
      <c r="G31">
        <f t="shared" si="3"/>
        <v>0.67903167529808506</v>
      </c>
      <c r="H31" s="1">
        <v>2585</v>
      </c>
      <c r="I31" s="1">
        <v>16606</v>
      </c>
      <c r="J31" s="1">
        <v>11276</v>
      </c>
      <c r="K31" s="1">
        <v>5329</v>
      </c>
      <c r="L31" s="1">
        <v>20455</v>
      </c>
      <c r="M31" s="1">
        <v>19</v>
      </c>
      <c r="N31" s="1">
        <v>6</v>
      </c>
      <c r="O31" s="1">
        <v>4</v>
      </c>
    </row>
    <row r="32" spans="1:15" x14ac:dyDescent="0.3">
      <c r="A32" t="s">
        <v>13</v>
      </c>
      <c r="B32">
        <v>2019</v>
      </c>
      <c r="C32" t="s">
        <v>22</v>
      </c>
      <c r="D32">
        <f t="shared" si="0"/>
        <v>5.7499522145692712E-2</v>
      </c>
      <c r="E32">
        <f t="shared" si="1"/>
        <v>1.5847495346371383E-2</v>
      </c>
      <c r="F32">
        <f t="shared" si="2"/>
        <v>8.8905808008308078</v>
      </c>
      <c r="G32">
        <f t="shared" si="3"/>
        <v>0.72438909481339886</v>
      </c>
      <c r="H32" s="1">
        <v>12318035</v>
      </c>
      <c r="I32" s="1">
        <v>777285920</v>
      </c>
      <c r="J32" s="1">
        <v>563057444</v>
      </c>
      <c r="K32" s="1">
        <v>214228476</v>
      </c>
      <c r="L32" s="1">
        <v>481761253</v>
      </c>
      <c r="M32" s="1">
        <v>3</v>
      </c>
      <c r="N32" s="1">
        <v>1</v>
      </c>
      <c r="O32" s="1">
        <v>0</v>
      </c>
    </row>
    <row r="33" spans="1:15" x14ac:dyDescent="0.3">
      <c r="A33" t="s">
        <v>13</v>
      </c>
      <c r="B33">
        <v>2020</v>
      </c>
      <c r="C33" t="s">
        <v>22</v>
      </c>
      <c r="D33">
        <f t="shared" si="0"/>
        <v>-0.45042546827116275</v>
      </c>
      <c r="E33">
        <f t="shared" si="1"/>
        <v>-9.1152283848579697E-3</v>
      </c>
      <c r="F33">
        <f t="shared" si="2"/>
        <v>9.8881085297398705</v>
      </c>
      <c r="G33">
        <f t="shared" si="3"/>
        <v>7.4052346073791811E-2</v>
      </c>
      <c r="H33" s="1">
        <v>-70449203</v>
      </c>
      <c r="I33" s="1">
        <v>7728737013</v>
      </c>
      <c r="J33" s="1">
        <v>572331108</v>
      </c>
      <c r="K33" s="1">
        <v>156405905</v>
      </c>
      <c r="L33" s="1">
        <v>287641094</v>
      </c>
      <c r="M33" s="1">
        <v>3</v>
      </c>
      <c r="N33" s="1">
        <v>1</v>
      </c>
      <c r="O33" s="1">
        <v>0</v>
      </c>
    </row>
    <row r="34" spans="1:15" x14ac:dyDescent="0.3">
      <c r="A34" t="s">
        <v>13</v>
      </c>
      <c r="B34">
        <v>2021</v>
      </c>
      <c r="C34" t="s">
        <v>22</v>
      </c>
      <c r="D34">
        <f t="shared" si="0"/>
        <v>0.15410491120531822</v>
      </c>
      <c r="E34">
        <f t="shared" si="1"/>
        <v>5.5725364245925557E-2</v>
      </c>
      <c r="F34">
        <f t="shared" si="2"/>
        <v>8.8009605660699446</v>
      </c>
      <c r="G34">
        <f t="shared" si="3"/>
        <v>0.63839332692206596</v>
      </c>
      <c r="H34" s="1">
        <v>35238181</v>
      </c>
      <c r="I34" s="1">
        <v>632354431</v>
      </c>
      <c r="J34" s="1">
        <v>403690849</v>
      </c>
      <c r="K34" s="1">
        <v>228663582</v>
      </c>
      <c r="L34" s="1">
        <v>355710459</v>
      </c>
      <c r="M34" s="1">
        <v>5</v>
      </c>
      <c r="N34" s="1">
        <v>2</v>
      </c>
      <c r="O34" s="1">
        <v>2</v>
      </c>
    </row>
    <row r="35" spans="1:15" x14ac:dyDescent="0.3">
      <c r="A35" t="s">
        <v>13</v>
      </c>
      <c r="B35">
        <v>2022</v>
      </c>
      <c r="C35" t="s">
        <v>22</v>
      </c>
      <c r="D35">
        <f t="shared" si="0"/>
        <v>3.7928726247060285E-2</v>
      </c>
      <c r="E35">
        <f t="shared" si="1"/>
        <v>2.2298608188386113E-2</v>
      </c>
      <c r="F35">
        <f t="shared" si="2"/>
        <v>8.814675011536405</v>
      </c>
      <c r="G35">
        <f t="shared" si="3"/>
        <v>0.4120918260440028</v>
      </c>
      <c r="H35" s="1">
        <v>14553008</v>
      </c>
      <c r="I35" s="1">
        <v>652641989</v>
      </c>
      <c r="J35" s="1">
        <v>268948429</v>
      </c>
      <c r="K35" s="1">
        <v>383693560</v>
      </c>
      <c r="L35" s="1">
        <v>352601385</v>
      </c>
      <c r="M35" s="1">
        <v>5</v>
      </c>
      <c r="N35" s="1">
        <v>2</v>
      </c>
      <c r="O35" s="1">
        <v>2</v>
      </c>
    </row>
    <row r="36" spans="1:15" x14ac:dyDescent="0.3">
      <c r="A36" t="s">
        <v>13</v>
      </c>
      <c r="B36">
        <v>2023</v>
      </c>
      <c r="C36" t="s">
        <v>22</v>
      </c>
      <c r="D36">
        <f t="shared" si="0"/>
        <v>3.7704273715836741E-2</v>
      </c>
      <c r="E36">
        <f t="shared" si="1"/>
        <v>2.0504587852989031E-2</v>
      </c>
      <c r="F36">
        <f t="shared" si="2"/>
        <v>8.814675011536405</v>
      </c>
      <c r="G36">
        <f t="shared" si="3"/>
        <v>0.54771109126415707</v>
      </c>
      <c r="H36" s="1">
        <v>13382155</v>
      </c>
      <c r="I36" s="1">
        <v>652641989</v>
      </c>
      <c r="J36" s="1">
        <v>357459256</v>
      </c>
      <c r="K36" s="1">
        <v>354924089</v>
      </c>
      <c r="L36" s="1">
        <v>414624839</v>
      </c>
      <c r="M36" s="1">
        <v>5</v>
      </c>
      <c r="N36" s="1">
        <v>2</v>
      </c>
      <c r="O36" s="1">
        <v>2</v>
      </c>
    </row>
    <row r="37" spans="1:15" x14ac:dyDescent="0.3">
      <c r="A37" t="s">
        <v>14</v>
      </c>
      <c r="B37">
        <v>2019</v>
      </c>
      <c r="C37" t="s">
        <v>22</v>
      </c>
      <c r="D37">
        <f t="shared" si="0"/>
        <v>0.24641034982152696</v>
      </c>
      <c r="E37">
        <f t="shared" si="1"/>
        <v>5.6320064118977782E-2</v>
      </c>
      <c r="F37">
        <f t="shared" si="2"/>
        <v>6.9890879477006953</v>
      </c>
      <c r="G37">
        <f t="shared" si="3"/>
        <v>0.77143791176072773</v>
      </c>
      <c r="H37" s="1">
        <v>549226</v>
      </c>
      <c r="I37" s="1">
        <v>9751871</v>
      </c>
      <c r="J37" s="1">
        <v>7522963</v>
      </c>
      <c r="K37" s="1">
        <v>2228908</v>
      </c>
      <c r="L37" s="1">
        <v>18638220</v>
      </c>
      <c r="M37" s="1">
        <v>12</v>
      </c>
      <c r="N37" s="1">
        <v>6</v>
      </c>
      <c r="O37" s="1">
        <v>3</v>
      </c>
    </row>
    <row r="38" spans="1:15" x14ac:dyDescent="0.3">
      <c r="A38" t="s">
        <v>14</v>
      </c>
      <c r="B38">
        <v>2020</v>
      </c>
      <c r="C38" t="s">
        <v>22</v>
      </c>
      <c r="D38">
        <f t="shared" si="0"/>
        <v>0.20319769128974907</v>
      </c>
      <c r="E38">
        <f t="shared" si="1"/>
        <v>4.8648746116583631E-2</v>
      </c>
      <c r="F38">
        <f t="shared" si="2"/>
        <v>6.9744154280430015</v>
      </c>
      <c r="G38" s="2">
        <f t="shared" si="3"/>
        <v>0.76058415916146849</v>
      </c>
      <c r="H38" s="1">
        <v>458656</v>
      </c>
      <c r="I38" s="1">
        <v>9427910</v>
      </c>
      <c r="J38" s="1">
        <v>7170719</v>
      </c>
      <c r="K38" s="1">
        <v>2257191</v>
      </c>
      <c r="L38" s="1">
        <v>19293497</v>
      </c>
      <c r="M38" s="1">
        <v>10</v>
      </c>
      <c r="N38" s="1">
        <v>6</v>
      </c>
      <c r="O38" s="1">
        <v>3</v>
      </c>
    </row>
    <row r="39" spans="1:15" x14ac:dyDescent="0.3">
      <c r="A39" t="s">
        <v>14</v>
      </c>
      <c r="B39">
        <v>2021</v>
      </c>
      <c r="C39" t="s">
        <v>22</v>
      </c>
      <c r="D39">
        <f t="shared" si="0"/>
        <v>0.25750394944707738</v>
      </c>
      <c r="E39">
        <f t="shared" si="1"/>
        <v>6.2885802469135804E-2</v>
      </c>
      <c r="F39">
        <f t="shared" si="2"/>
        <v>4.0156949885265183</v>
      </c>
      <c r="G39">
        <f t="shared" si="3"/>
        <v>0.75578703703703709</v>
      </c>
      <c r="H39" s="1">
        <v>652</v>
      </c>
      <c r="I39" s="1">
        <v>10368</v>
      </c>
      <c r="J39" s="1">
        <v>7836</v>
      </c>
      <c r="K39" s="1">
        <v>2532</v>
      </c>
      <c r="L39" s="1">
        <v>20889</v>
      </c>
      <c r="M39" s="1">
        <v>10</v>
      </c>
      <c r="N39" s="1">
        <v>6</v>
      </c>
      <c r="O39" s="1">
        <v>3</v>
      </c>
    </row>
    <row r="40" spans="1:15" x14ac:dyDescent="0.3">
      <c r="A40" t="s">
        <v>14</v>
      </c>
      <c r="B40">
        <v>2022</v>
      </c>
      <c r="C40" t="s">
        <v>22</v>
      </c>
      <c r="D40">
        <f t="shared" si="0"/>
        <v>0.31489361702127661</v>
      </c>
      <c r="E40">
        <f t="shared" si="1"/>
        <v>6.8720979316167163E-2</v>
      </c>
      <c r="F40">
        <f t="shared" si="2"/>
        <v>4.0735350650587838</v>
      </c>
      <c r="G40">
        <f t="shared" si="3"/>
        <v>0.78176445757703672</v>
      </c>
      <c r="H40" s="1">
        <v>814</v>
      </c>
      <c r="I40" s="1">
        <v>11845</v>
      </c>
      <c r="J40" s="1">
        <v>9260</v>
      </c>
      <c r="K40" s="1">
        <v>2585</v>
      </c>
      <c r="L40" s="1">
        <v>25385</v>
      </c>
      <c r="M40" s="1">
        <v>11</v>
      </c>
      <c r="N40" s="1">
        <v>6</v>
      </c>
      <c r="O40" s="1">
        <v>4</v>
      </c>
    </row>
    <row r="41" spans="1:15" x14ac:dyDescent="0.3">
      <c r="A41" t="s">
        <v>14</v>
      </c>
      <c r="B41">
        <v>2023</v>
      </c>
      <c r="C41" t="s">
        <v>22</v>
      </c>
      <c r="D41">
        <f t="shared" si="0"/>
        <v>0.33007175472928896</v>
      </c>
      <c r="E41">
        <f t="shared" si="1"/>
        <v>7.0784080576344693E-2</v>
      </c>
      <c r="F41">
        <f t="shared" si="2"/>
        <v>4.1552449171761863</v>
      </c>
      <c r="G41">
        <f t="shared" si="3"/>
        <v>0.7855494159613905</v>
      </c>
      <c r="H41" s="1">
        <v>1012</v>
      </c>
      <c r="I41" s="1">
        <v>14297</v>
      </c>
      <c r="J41" s="1">
        <v>11231</v>
      </c>
      <c r="K41" s="1">
        <v>3066</v>
      </c>
      <c r="L41" s="1">
        <v>30608</v>
      </c>
      <c r="M41" s="1">
        <v>11</v>
      </c>
      <c r="N41" s="1">
        <v>6</v>
      </c>
      <c r="O41" s="1">
        <v>4</v>
      </c>
    </row>
    <row r="42" spans="1:15" x14ac:dyDescent="0.3">
      <c r="A42" t="s">
        <v>15</v>
      </c>
      <c r="B42">
        <v>2019</v>
      </c>
      <c r="C42" t="s">
        <v>22</v>
      </c>
      <c r="D42">
        <f t="shared" si="0"/>
        <v>0.34035606499405541</v>
      </c>
      <c r="E42">
        <f t="shared" si="1"/>
        <v>2.2088354208196791E-2</v>
      </c>
      <c r="F42">
        <f t="shared" si="2"/>
        <v>6.7036836998754827</v>
      </c>
      <c r="G42">
        <f t="shared" si="3"/>
        <v>0.93510241437243646</v>
      </c>
      <c r="H42" s="1">
        <v>111647</v>
      </c>
      <c r="I42" s="1">
        <v>5054564</v>
      </c>
      <c r="J42" s="1">
        <v>4726535</v>
      </c>
      <c r="K42" s="1">
        <v>328030</v>
      </c>
      <c r="L42" s="1">
        <v>2826746</v>
      </c>
      <c r="M42" s="1">
        <v>21</v>
      </c>
      <c r="N42" s="1">
        <v>3</v>
      </c>
      <c r="O42" s="1">
        <v>5</v>
      </c>
    </row>
    <row r="43" spans="1:15" x14ac:dyDescent="0.3">
      <c r="A43" t="s">
        <v>15</v>
      </c>
      <c r="B43">
        <v>2020</v>
      </c>
      <c r="C43" t="s">
        <v>22</v>
      </c>
      <c r="D43">
        <f t="shared" si="0"/>
        <v>0.17487603758595183</v>
      </c>
      <c r="E43">
        <f t="shared" si="1"/>
        <v>5.3024806239541549E-3</v>
      </c>
      <c r="F43">
        <f t="shared" si="2"/>
        <v>6.6826397638309816</v>
      </c>
      <c r="G43">
        <f t="shared" si="3"/>
        <v>0.96967863237781804</v>
      </c>
      <c r="H43" s="1">
        <v>25534</v>
      </c>
      <c r="I43" s="1">
        <v>4815482</v>
      </c>
      <c r="J43" s="1">
        <v>4669470</v>
      </c>
      <c r="K43" s="1">
        <v>146012</v>
      </c>
      <c r="L43" s="1">
        <v>2429134</v>
      </c>
      <c r="M43" s="1">
        <v>21</v>
      </c>
      <c r="N43" s="1">
        <v>3</v>
      </c>
      <c r="O43" s="1">
        <v>5</v>
      </c>
    </row>
    <row r="44" spans="1:15" x14ac:dyDescent="0.3">
      <c r="A44" t="s">
        <v>15</v>
      </c>
      <c r="B44">
        <v>2021</v>
      </c>
      <c r="C44" t="s">
        <v>22</v>
      </c>
      <c r="D44">
        <f t="shared" si="0"/>
        <v>0.26480910584140349</v>
      </c>
      <c r="E44">
        <f t="shared" si="1"/>
        <v>2.1967262988554493E-2</v>
      </c>
      <c r="F44">
        <f t="shared" si="2"/>
        <v>6.7342816463987898</v>
      </c>
      <c r="G44">
        <f t="shared" si="3"/>
        <v>0.91704509521021849</v>
      </c>
      <c r="H44" s="1">
        <v>119140</v>
      </c>
      <c r="I44" s="1">
        <v>5423525</v>
      </c>
      <c r="J44" s="1">
        <v>4973617</v>
      </c>
      <c r="K44" s="1">
        <v>449909</v>
      </c>
      <c r="L44" s="1">
        <v>2591776</v>
      </c>
      <c r="M44" s="1">
        <v>14</v>
      </c>
      <c r="N44" s="1">
        <v>4</v>
      </c>
      <c r="O44" s="1">
        <v>4</v>
      </c>
    </row>
    <row r="45" spans="1:15" x14ac:dyDescent="0.3">
      <c r="A45" t="s">
        <v>15</v>
      </c>
      <c r="B45">
        <v>2022</v>
      </c>
      <c r="C45" t="s">
        <v>22</v>
      </c>
      <c r="D45">
        <f t="shared" si="0"/>
        <v>0.21883874177239521</v>
      </c>
      <c r="E45">
        <f t="shared" si="1"/>
        <v>1.8151896427249008E-2</v>
      </c>
      <c r="F45">
        <f t="shared" si="2"/>
        <v>6.8060373798417277</v>
      </c>
      <c r="G45">
        <f t="shared" si="3"/>
        <v>0.91705355148619883</v>
      </c>
      <c r="H45" s="1">
        <v>116134</v>
      </c>
      <c r="I45" s="1">
        <v>6397899</v>
      </c>
      <c r="J45" s="1">
        <v>5867216</v>
      </c>
      <c r="K45" s="1">
        <v>530683</v>
      </c>
      <c r="L45" s="1">
        <v>3804258</v>
      </c>
      <c r="M45" s="1">
        <v>15</v>
      </c>
      <c r="N45" s="1">
        <v>5</v>
      </c>
      <c r="O45" s="1">
        <v>4</v>
      </c>
    </row>
    <row r="46" spans="1:15" x14ac:dyDescent="0.3">
      <c r="A46" t="s">
        <v>15</v>
      </c>
      <c r="B46">
        <v>2023</v>
      </c>
      <c r="C46" t="s">
        <v>22</v>
      </c>
      <c r="D46">
        <f t="shared" si="0"/>
        <v>0.53081317596434119</v>
      </c>
      <c r="E46">
        <f t="shared" si="1"/>
        <v>5.14204936380903E-2</v>
      </c>
      <c r="F46">
        <f t="shared" si="2"/>
        <v>6.8862583436655527</v>
      </c>
      <c r="G46">
        <f t="shared" si="3"/>
        <v>0.90312895950444139</v>
      </c>
      <c r="H46" s="1">
        <v>395726</v>
      </c>
      <c r="I46" s="1">
        <v>7695881</v>
      </c>
      <c r="J46" s="1">
        <v>6950373</v>
      </c>
      <c r="K46" s="1">
        <v>745509</v>
      </c>
      <c r="L46" s="1">
        <v>5551897</v>
      </c>
      <c r="M46" s="1">
        <v>17</v>
      </c>
      <c r="N46" s="1">
        <v>6</v>
      </c>
      <c r="O46" s="1">
        <v>4</v>
      </c>
    </row>
    <row r="47" spans="1:15" x14ac:dyDescent="0.3">
      <c r="A47" t="s">
        <v>16</v>
      </c>
      <c r="B47">
        <v>2019</v>
      </c>
      <c r="C47" t="s">
        <v>22</v>
      </c>
      <c r="D47">
        <f>L47/K47</f>
        <v>1.328735323345734</v>
      </c>
      <c r="E47">
        <f>L47/I47</f>
        <v>0.43556714384154271</v>
      </c>
      <c r="F47">
        <f t="shared" si="2"/>
        <v>6.4897020434935806</v>
      </c>
      <c r="G47">
        <f t="shared" si="3"/>
        <v>0.67219420136676145</v>
      </c>
      <c r="H47" s="1">
        <v>200747</v>
      </c>
      <c r="I47" s="1">
        <v>3088176</v>
      </c>
      <c r="J47" s="1">
        <v>2075854</v>
      </c>
      <c r="K47" s="1">
        <v>1012322</v>
      </c>
      <c r="L47" s="1">
        <v>1345108</v>
      </c>
      <c r="M47" s="1">
        <v>17</v>
      </c>
      <c r="N47" s="1">
        <v>1</v>
      </c>
      <c r="O47" s="1">
        <v>4</v>
      </c>
    </row>
    <row r="48" spans="1:15" x14ac:dyDescent="0.3">
      <c r="A48" t="s">
        <v>16</v>
      </c>
      <c r="B48">
        <v>2020</v>
      </c>
      <c r="C48" t="s">
        <v>22</v>
      </c>
      <c r="D48">
        <f t="shared" si="0"/>
        <v>0.1435945594906686</v>
      </c>
      <c r="E48">
        <f t="shared" si="1"/>
        <v>4.3279373065296035E-2</v>
      </c>
      <c r="F48">
        <f t="shared" si="2"/>
        <v>6.5014212060894492</v>
      </c>
      <c r="G48">
        <f t="shared" si="3"/>
        <v>0.69860018917981004</v>
      </c>
      <c r="H48" s="1">
        <v>137310</v>
      </c>
      <c r="I48" s="1">
        <v>3172643</v>
      </c>
      <c r="J48" s="1">
        <v>2216409</v>
      </c>
      <c r="K48" s="1">
        <v>956234</v>
      </c>
      <c r="L48" s="1">
        <v>1262980</v>
      </c>
      <c r="M48" s="1">
        <v>17</v>
      </c>
      <c r="N48" s="1">
        <v>1</v>
      </c>
      <c r="O48" s="1">
        <v>4</v>
      </c>
    </row>
    <row r="49" spans="1:15" x14ac:dyDescent="0.3">
      <c r="A49" t="s">
        <v>16</v>
      </c>
      <c r="B49">
        <v>2021</v>
      </c>
      <c r="C49" t="s">
        <v>22</v>
      </c>
      <c r="D49">
        <f t="shared" si="0"/>
        <v>0.19590550363447559</v>
      </c>
      <c r="E49">
        <f t="shared" si="1"/>
        <v>5.7880987115707057E-2</v>
      </c>
      <c r="F49">
        <f t="shared" si="2"/>
        <v>6.5131369949926814</v>
      </c>
      <c r="G49">
        <f t="shared" si="3"/>
        <v>0.70454639588021706</v>
      </c>
      <c r="H49" s="1">
        <v>188657</v>
      </c>
      <c r="I49" s="1">
        <v>3259395</v>
      </c>
      <c r="J49" s="1">
        <v>2296395</v>
      </c>
      <c r="K49" s="1">
        <v>963000</v>
      </c>
      <c r="L49" s="1">
        <v>1295248</v>
      </c>
      <c r="M49" s="1">
        <v>17</v>
      </c>
      <c r="N49" s="1">
        <v>1</v>
      </c>
      <c r="O49" s="1">
        <v>4</v>
      </c>
    </row>
    <row r="50" spans="1:15" x14ac:dyDescent="0.3">
      <c r="A50" t="s">
        <v>16</v>
      </c>
      <c r="B50">
        <v>2022</v>
      </c>
      <c r="C50" t="s">
        <v>22</v>
      </c>
      <c r="D50">
        <f t="shared" si="0"/>
        <v>0.25676799294526592</v>
      </c>
      <c r="E50">
        <f t="shared" si="1"/>
        <v>7.8019844519311501E-2</v>
      </c>
      <c r="F50">
        <f t="shared" si="2"/>
        <v>6.5394931224561983</v>
      </c>
      <c r="G50">
        <f t="shared" si="3"/>
        <v>0.69614653436987128</v>
      </c>
      <c r="H50" s="1">
        <v>270208</v>
      </c>
      <c r="I50" s="1">
        <v>3463324</v>
      </c>
      <c r="J50" s="1">
        <v>2410981</v>
      </c>
      <c r="K50" s="1">
        <v>1052343</v>
      </c>
      <c r="L50" s="1">
        <v>1362741</v>
      </c>
      <c r="M50" s="1">
        <v>15</v>
      </c>
      <c r="N50" s="1">
        <v>0</v>
      </c>
      <c r="O50" s="1">
        <v>4</v>
      </c>
    </row>
    <row r="51" spans="1:15" x14ac:dyDescent="0.3">
      <c r="A51" t="s">
        <v>16</v>
      </c>
      <c r="B51">
        <v>2023</v>
      </c>
      <c r="C51" t="s">
        <v>23</v>
      </c>
      <c r="D51">
        <f t="shared" si="0"/>
        <v>0.26562325636104622</v>
      </c>
      <c r="E51">
        <f t="shared" si="1"/>
        <v>7.6164175060104117E-2</v>
      </c>
      <c r="F51">
        <f t="shared" si="2"/>
        <v>6.5402017959750447</v>
      </c>
      <c r="G51">
        <f t="shared" si="3"/>
        <v>0.71326239989852924</v>
      </c>
      <c r="H51" s="1">
        <v>264212</v>
      </c>
      <c r="I51" s="1">
        <v>3468980</v>
      </c>
      <c r="J51" s="1">
        <v>2474293</v>
      </c>
      <c r="K51" s="1">
        <v>994687</v>
      </c>
      <c r="L51" s="1">
        <v>1451987</v>
      </c>
      <c r="M51" s="1">
        <v>15</v>
      </c>
      <c r="N51" s="1">
        <v>0</v>
      </c>
      <c r="O51" s="1">
        <v>5</v>
      </c>
    </row>
    <row r="52" spans="1:15" x14ac:dyDescent="0.3">
      <c r="A52" t="s">
        <v>17</v>
      </c>
      <c r="B52">
        <v>2019</v>
      </c>
      <c r="C52" t="s">
        <v>22</v>
      </c>
      <c r="D52">
        <f t="shared" si="0"/>
        <v>0.13698082625243405</v>
      </c>
      <c r="E52">
        <f t="shared" si="1"/>
        <v>3.7338852337424525E-2</v>
      </c>
      <c r="F52">
        <f t="shared" si="2"/>
        <v>6.7247103563823876</v>
      </c>
      <c r="G52">
        <f t="shared" si="3"/>
        <v>0.72741529469088018</v>
      </c>
      <c r="H52" s="1">
        <v>198094</v>
      </c>
      <c r="I52" s="1">
        <v>5305305</v>
      </c>
      <c r="J52" s="1">
        <v>3859160</v>
      </c>
      <c r="K52" s="1">
        <v>1446144</v>
      </c>
      <c r="L52" s="1">
        <v>79</v>
      </c>
      <c r="M52" s="1">
        <v>13</v>
      </c>
      <c r="N52" s="1">
        <v>5</v>
      </c>
      <c r="O52" s="1">
        <v>2</v>
      </c>
    </row>
    <row r="53" spans="1:15" x14ac:dyDescent="0.3">
      <c r="A53" t="s">
        <v>17</v>
      </c>
      <c r="B53">
        <v>2020</v>
      </c>
      <c r="C53" t="s">
        <v>22</v>
      </c>
      <c r="D53">
        <f t="shared" si="0"/>
        <v>0.12943240747318321</v>
      </c>
      <c r="E53">
        <f t="shared" si="1"/>
        <v>3.4714016420959413E-2</v>
      </c>
      <c r="F53">
        <f t="shared" si="2"/>
        <v>6.720048275273049</v>
      </c>
      <c r="G53">
        <f t="shared" si="3"/>
        <v>0.73179810915475918</v>
      </c>
      <c r="H53" s="1">
        <v>182202</v>
      </c>
      <c r="I53" s="1">
        <v>5248658</v>
      </c>
      <c r="J53" s="1">
        <v>3840958</v>
      </c>
      <c r="K53" s="1">
        <v>1407700</v>
      </c>
      <c r="L53" s="1">
        <v>64</v>
      </c>
      <c r="M53" s="1">
        <v>13</v>
      </c>
      <c r="N53" s="1">
        <v>5</v>
      </c>
      <c r="O53" s="1">
        <v>2</v>
      </c>
    </row>
    <row r="54" spans="1:15" x14ac:dyDescent="0.3">
      <c r="A54" t="s">
        <v>17</v>
      </c>
      <c r="B54">
        <v>2021</v>
      </c>
      <c r="C54" t="s">
        <v>22</v>
      </c>
      <c r="D54">
        <f t="shared" si="0"/>
        <v>0.12503280537369754</v>
      </c>
      <c r="E54">
        <f t="shared" si="1"/>
        <v>3.1542362945726557E-2</v>
      </c>
      <c r="F54">
        <f t="shared" si="2"/>
        <v>6.747296498660238</v>
      </c>
      <c r="G54">
        <f t="shared" si="3"/>
        <v>0.7477273036348111</v>
      </c>
      <c r="H54" s="1">
        <v>176275</v>
      </c>
      <c r="I54" s="1">
        <v>5588516</v>
      </c>
      <c r="J54" s="1">
        <v>4178686</v>
      </c>
      <c r="K54" s="1">
        <v>1409830</v>
      </c>
      <c r="L54" s="1">
        <v>734</v>
      </c>
      <c r="M54" s="1">
        <v>14</v>
      </c>
      <c r="N54" s="1">
        <v>6</v>
      </c>
      <c r="O54" s="1">
        <v>4</v>
      </c>
    </row>
    <row r="55" spans="1:15" x14ac:dyDescent="0.3">
      <c r="A55" t="s">
        <v>17</v>
      </c>
      <c r="B55">
        <v>2022</v>
      </c>
      <c r="C55" t="s">
        <v>22</v>
      </c>
      <c r="D55">
        <f t="shared" si="0"/>
        <v>0.12787390595531961</v>
      </c>
      <c r="E55">
        <f t="shared" si="1"/>
        <v>3.0078293805129771E-2</v>
      </c>
      <c r="F55">
        <f t="shared" si="2"/>
        <v>6.809667163976675</v>
      </c>
      <c r="G55">
        <f t="shared" si="3"/>
        <v>0.76478161372782794</v>
      </c>
      <c r="H55" s="1">
        <v>194053</v>
      </c>
      <c r="I55" s="1">
        <v>6451596</v>
      </c>
      <c r="J55" s="1">
        <v>4934062</v>
      </c>
      <c r="K55" s="1">
        <v>1517534</v>
      </c>
      <c r="L55" s="1">
        <v>96</v>
      </c>
      <c r="M55" s="1">
        <v>14</v>
      </c>
      <c r="N55" s="1">
        <v>6</v>
      </c>
      <c r="O55" s="1">
        <v>4</v>
      </c>
    </row>
    <row r="56" spans="1:15" x14ac:dyDescent="0.3">
      <c r="A56" t="s">
        <v>17</v>
      </c>
      <c r="B56">
        <v>2023</v>
      </c>
      <c r="C56" t="s">
        <v>22</v>
      </c>
      <c r="D56">
        <f t="shared" si="0"/>
        <v>0.14565416938912093</v>
      </c>
      <c r="E56">
        <f t="shared" si="1"/>
        <v>3.8091874600482051E-2</v>
      </c>
      <c r="F56">
        <f t="shared" si="2"/>
        <v>6.7620756837611564</v>
      </c>
      <c r="G56">
        <f t="shared" si="3"/>
        <v>0.73847727970822397</v>
      </c>
      <c r="H56" s="1">
        <v>220246</v>
      </c>
      <c r="I56" s="1">
        <v>5781968</v>
      </c>
      <c r="J56" s="1">
        <v>4269852</v>
      </c>
      <c r="K56" s="1">
        <v>1512116</v>
      </c>
      <c r="L56" s="1">
        <v>179</v>
      </c>
      <c r="M56" s="1">
        <v>15</v>
      </c>
      <c r="N56" s="1">
        <v>7</v>
      </c>
      <c r="O56" s="1">
        <v>4</v>
      </c>
    </row>
    <row r="57" spans="1:15" x14ac:dyDescent="0.3">
      <c r="A57" t="s">
        <v>18</v>
      </c>
      <c r="B57">
        <v>2019</v>
      </c>
      <c r="C57" t="s">
        <v>22</v>
      </c>
      <c r="D57">
        <f t="shared" si="0"/>
        <v>0.14788730631736169</v>
      </c>
      <c r="E57">
        <f t="shared" si="1"/>
        <v>4.6394887356880528E-2</v>
      </c>
      <c r="F57">
        <f t="shared" si="2"/>
        <v>9.6044233908725314</v>
      </c>
      <c r="G57">
        <f t="shared" si="3"/>
        <v>0.68628215286227134</v>
      </c>
      <c r="H57" s="1">
        <v>186592213</v>
      </c>
      <c r="I57" s="1">
        <v>4021827051</v>
      </c>
      <c r="J57" s="1">
        <v>2760108127</v>
      </c>
      <c r="K57" s="1">
        <v>1261718924</v>
      </c>
      <c r="L57" s="1">
        <v>2228540107</v>
      </c>
      <c r="M57" s="1">
        <v>14</v>
      </c>
      <c r="N57" s="1">
        <v>1</v>
      </c>
      <c r="O57" s="1">
        <v>1</v>
      </c>
    </row>
    <row r="58" spans="1:15" x14ac:dyDescent="0.3">
      <c r="A58" t="s">
        <v>18</v>
      </c>
      <c r="B58">
        <v>2020</v>
      </c>
      <c r="C58" t="s">
        <v>22</v>
      </c>
      <c r="D58">
        <f t="shared" si="0"/>
        <v>0.12769447820174379</v>
      </c>
      <c r="E58">
        <f t="shared" si="1"/>
        <v>4.0264198036221097E-2</v>
      </c>
      <c r="F58">
        <f t="shared" si="2"/>
        <v>9.5833115869804395</v>
      </c>
      <c r="G58">
        <f t="shared" si="3"/>
        <v>0.68468332692813927</v>
      </c>
      <c r="H58" s="1">
        <v>154251942</v>
      </c>
      <c r="I58" s="1">
        <v>3830995016</v>
      </c>
      <c r="J58" s="1">
        <v>2623018413</v>
      </c>
      <c r="K58" s="1">
        <v>1207976603</v>
      </c>
      <c r="L58" s="1">
        <v>1867370709</v>
      </c>
      <c r="M58" s="1">
        <v>13</v>
      </c>
      <c r="N58" s="1">
        <v>1</v>
      </c>
      <c r="O58" s="1">
        <v>1</v>
      </c>
    </row>
    <row r="59" spans="1:15" x14ac:dyDescent="0.3">
      <c r="A59" t="s">
        <v>18</v>
      </c>
      <c r="B59">
        <v>2021</v>
      </c>
      <c r="C59" t="s">
        <v>22</v>
      </c>
      <c r="D59">
        <f t="shared" si="0"/>
        <v>0.19915111259917023</v>
      </c>
      <c r="E59">
        <f t="shared" si="1"/>
        <v>6.9223636349860104E-2</v>
      </c>
      <c r="F59">
        <f t="shared" si="2"/>
        <v>9.5877886076870134</v>
      </c>
      <c r="G59">
        <f t="shared" si="3"/>
        <v>0.65240647944967323</v>
      </c>
      <c r="H59" s="1">
        <v>267943371</v>
      </c>
      <c r="I59" s="1">
        <v>3870691936</v>
      </c>
      <c r="J59" s="1">
        <v>2525264499</v>
      </c>
      <c r="K59" s="1">
        <v>1345427437</v>
      </c>
      <c r="L59" s="1">
        <v>2131384149</v>
      </c>
      <c r="M59" s="1">
        <v>11</v>
      </c>
      <c r="N59" s="1">
        <v>1</v>
      </c>
      <c r="O59" s="1">
        <v>1</v>
      </c>
    </row>
    <row r="60" spans="1:15" x14ac:dyDescent="0.3">
      <c r="A60" t="s">
        <v>18</v>
      </c>
      <c r="B60">
        <v>2022</v>
      </c>
      <c r="C60" t="s">
        <v>22</v>
      </c>
      <c r="D60">
        <f t="shared" si="0"/>
        <v>0.3413432305413942</v>
      </c>
      <c r="E60">
        <f t="shared" si="1"/>
        <v>0.12232937054516413</v>
      </c>
      <c r="F60">
        <f t="shared" si="2"/>
        <v>9.6588131790291314</v>
      </c>
      <c r="G60">
        <f t="shared" si="3"/>
        <v>0.64162356361618422</v>
      </c>
      <c r="H60" s="1">
        <v>557627162</v>
      </c>
      <c r="I60" s="1">
        <v>4558407842</v>
      </c>
      <c r="J60" s="1">
        <v>2924781884</v>
      </c>
      <c r="K60" s="1">
        <v>1633625958</v>
      </c>
      <c r="L60" s="1">
        <v>3122019519</v>
      </c>
      <c r="M60" s="1">
        <v>11</v>
      </c>
      <c r="N60" s="1">
        <v>2</v>
      </c>
      <c r="O60" s="1">
        <v>1</v>
      </c>
    </row>
    <row r="61" spans="1:15" x14ac:dyDescent="0.3">
      <c r="A61" t="s">
        <v>18</v>
      </c>
      <c r="B61">
        <v>2023</v>
      </c>
      <c r="C61" t="s">
        <v>22</v>
      </c>
      <c r="D61">
        <f t="shared" si="0"/>
        <v>0.22322899411422109</v>
      </c>
      <c r="E61">
        <f t="shared" si="1"/>
        <v>8.6258734003102244E-2</v>
      </c>
      <c r="F61">
        <f t="shared" si="2"/>
        <v>9.669775251981358</v>
      </c>
      <c r="G61">
        <f t="shared" si="3"/>
        <v>0.61358633386590611</v>
      </c>
      <c r="H61" s="1">
        <v>403253673</v>
      </c>
      <c r="I61" s="1">
        <v>4674931503</v>
      </c>
      <c r="J61" s="1">
        <v>2868474082</v>
      </c>
      <c r="K61" s="1">
        <v>1806457421</v>
      </c>
      <c r="L61" s="1">
        <v>2706323930</v>
      </c>
      <c r="M61" s="1">
        <v>8</v>
      </c>
      <c r="N61" s="1">
        <v>1</v>
      </c>
      <c r="O61" s="1">
        <v>1</v>
      </c>
    </row>
    <row r="62" spans="1:15" x14ac:dyDescent="0.3">
      <c r="A62" t="s">
        <v>19</v>
      </c>
      <c r="B62">
        <v>2019</v>
      </c>
      <c r="C62" t="s">
        <v>22</v>
      </c>
      <c r="D62">
        <f t="shared" si="0"/>
        <v>7.5541705433430986E-2</v>
      </c>
      <c r="E62">
        <f t="shared" si="1"/>
        <v>2.5947250050058764E-2</v>
      </c>
      <c r="F62">
        <f t="shared" si="2"/>
        <v>9.9563756893213817</v>
      </c>
      <c r="G62">
        <f t="shared" si="3"/>
        <v>0.65651755012436075</v>
      </c>
      <c r="H62" s="1">
        <v>234675108</v>
      </c>
      <c r="I62" s="1">
        <v>9044315199</v>
      </c>
      <c r="J62" s="1">
        <v>5937751657</v>
      </c>
      <c r="K62" s="1">
        <v>3106563542</v>
      </c>
      <c r="L62" s="1">
        <v>6051906738</v>
      </c>
      <c r="M62" s="1">
        <v>10</v>
      </c>
      <c r="N62" s="1">
        <v>4</v>
      </c>
      <c r="O62" s="1">
        <v>3</v>
      </c>
    </row>
    <row r="63" spans="1:15" x14ac:dyDescent="0.3">
      <c r="A63" t="s">
        <v>19</v>
      </c>
      <c r="B63">
        <v>2020</v>
      </c>
      <c r="C63" t="s">
        <v>22</v>
      </c>
      <c r="D63">
        <f t="shared" si="0"/>
        <v>2.4860178157682662E-2</v>
      </c>
      <c r="E63">
        <f t="shared" si="1"/>
        <v>7.4433311260313495E-3</v>
      </c>
      <c r="F63">
        <f t="shared" si="2"/>
        <v>9.9111004417524562</v>
      </c>
      <c r="G63">
        <f t="shared" si="3"/>
        <v>0.70059220497858332</v>
      </c>
      <c r="H63" s="1">
        <v>60655164</v>
      </c>
      <c r="I63" s="1">
        <v>8148927271</v>
      </c>
      <c r="J63" s="1">
        <v>5709074925</v>
      </c>
      <c r="K63" s="1">
        <v>2439852346</v>
      </c>
      <c r="L63" s="1">
        <v>6523913672</v>
      </c>
      <c r="M63" s="1">
        <v>10</v>
      </c>
      <c r="N63" s="1">
        <v>4</v>
      </c>
      <c r="O63" s="1">
        <v>3</v>
      </c>
    </row>
    <row r="64" spans="1:15" x14ac:dyDescent="0.3">
      <c r="A64" t="s">
        <v>19</v>
      </c>
      <c r="B64">
        <v>2021</v>
      </c>
      <c r="C64" t="s">
        <v>22</v>
      </c>
      <c r="D64">
        <f t="shared" si="0"/>
        <v>9.6647721726794117E-2</v>
      </c>
      <c r="E64">
        <f t="shared" si="1"/>
        <v>3.6550567886625342E-2</v>
      </c>
      <c r="F64">
        <f t="shared" si="2"/>
        <v>9.919972617289007</v>
      </c>
      <c r="G64">
        <f t="shared" si="3"/>
        <v>0.62181655983627548</v>
      </c>
      <c r="H64" s="1">
        <v>303995214</v>
      </c>
      <c r="I64" s="1">
        <v>8317113292</v>
      </c>
      <c r="J64" s="1">
        <v>5171718775</v>
      </c>
      <c r="K64" s="1">
        <v>3145394517</v>
      </c>
      <c r="L64" s="1">
        <v>6697614239</v>
      </c>
      <c r="M64" s="1">
        <v>10</v>
      </c>
      <c r="N64" s="1">
        <v>4</v>
      </c>
      <c r="O64" s="1">
        <v>3</v>
      </c>
    </row>
    <row r="65" spans="1:15" x14ac:dyDescent="0.3">
      <c r="A65" t="s">
        <v>19</v>
      </c>
      <c r="B65">
        <v>2022</v>
      </c>
      <c r="C65" t="s">
        <v>22</v>
      </c>
      <c r="D65">
        <f t="shared" si="0"/>
        <v>0.10713799542223829</v>
      </c>
      <c r="E65">
        <f t="shared" si="1"/>
        <v>4.1139962560819587E-2</v>
      </c>
      <c r="F65">
        <f t="shared" si="2"/>
        <v>6.9368700294150694</v>
      </c>
      <c r="G65">
        <f t="shared" si="3"/>
        <v>0.61600959212757211</v>
      </c>
      <c r="H65" s="1">
        <v>355741</v>
      </c>
      <c r="I65" s="1">
        <v>8647091</v>
      </c>
      <c r="J65" s="1">
        <v>5326691</v>
      </c>
      <c r="K65" s="1">
        <v>3320400</v>
      </c>
      <c r="L65" s="1">
        <v>7387762</v>
      </c>
      <c r="M65" s="1">
        <v>10</v>
      </c>
      <c r="N65" s="1">
        <v>4</v>
      </c>
      <c r="O65" s="1">
        <v>3</v>
      </c>
    </row>
    <row r="66" spans="1:15" x14ac:dyDescent="0.3">
      <c r="A66" t="s">
        <v>19</v>
      </c>
      <c r="B66">
        <v>2023</v>
      </c>
      <c r="C66" t="s">
        <v>22</v>
      </c>
      <c r="D66">
        <f t="shared" si="0"/>
        <v>0.12868412454983405</v>
      </c>
      <c r="E66">
        <f t="shared" si="1"/>
        <v>5.0364412657694042E-2</v>
      </c>
      <c r="F66">
        <f t="shared" si="2"/>
        <v>6.946700537768324</v>
      </c>
      <c r="G66">
        <f t="shared" si="3"/>
        <v>0.60861984464765906</v>
      </c>
      <c r="H66" s="1">
        <v>445476</v>
      </c>
      <c r="I66" s="1">
        <v>8845055</v>
      </c>
      <c r="J66" s="1">
        <v>5383276</v>
      </c>
      <c r="K66" s="1">
        <v>3461779</v>
      </c>
      <c r="L66" s="1">
        <v>8063544</v>
      </c>
      <c r="M66" s="1">
        <v>12</v>
      </c>
      <c r="N66" s="1">
        <v>5</v>
      </c>
      <c r="O66" s="1">
        <v>4</v>
      </c>
    </row>
    <row r="67" spans="1:15" x14ac:dyDescent="0.3">
      <c r="A67" t="s">
        <v>20</v>
      </c>
      <c r="B67">
        <v>2019</v>
      </c>
      <c r="C67" t="s">
        <v>22</v>
      </c>
      <c r="D67">
        <f t="shared" ref="D67:D71" si="4">H67/K67</f>
        <v>0.20895561903100507</v>
      </c>
      <c r="E67">
        <f t="shared" ref="E67:E71" si="5">H67/I67</f>
        <v>8.4136993842075986E-2</v>
      </c>
      <c r="F67">
        <f t="shared" ref="F67:F71" si="6">LOG(I67)</f>
        <v>9.4068146963532211</v>
      </c>
      <c r="G67">
        <f t="shared" ref="G67:G71" si="7">J67/I67</f>
        <v>0.59734514806423256</v>
      </c>
      <c r="H67" s="1">
        <v>214684993</v>
      </c>
      <c r="I67" s="1">
        <v>2551612355</v>
      </c>
      <c r="J67" s="1">
        <v>1524193260</v>
      </c>
      <c r="K67" s="1">
        <v>1027419095</v>
      </c>
      <c r="L67" s="1">
        <v>1687859963</v>
      </c>
      <c r="M67" s="1">
        <v>16</v>
      </c>
      <c r="N67" s="1">
        <v>3</v>
      </c>
      <c r="O67" s="1">
        <v>3</v>
      </c>
    </row>
    <row r="68" spans="1:15" x14ac:dyDescent="0.3">
      <c r="A68" t="s">
        <v>20</v>
      </c>
      <c r="B68">
        <v>2020</v>
      </c>
      <c r="C68" t="s">
        <v>22</v>
      </c>
      <c r="D68">
        <f t="shared" si="4"/>
        <v>0.12252855101274346</v>
      </c>
      <c r="E68">
        <f t="shared" si="5"/>
        <v>4.9243316763976343E-2</v>
      </c>
      <c r="F68">
        <f t="shared" si="6"/>
        <v>9.4071227258391374</v>
      </c>
      <c r="G68">
        <f t="shared" si="7"/>
        <v>0.59810740960402908</v>
      </c>
      <c r="H68" s="1">
        <v>125739006</v>
      </c>
      <c r="I68" s="1">
        <v>2553422764</v>
      </c>
      <c r="J68" s="1">
        <v>1527221075</v>
      </c>
      <c r="K68" s="1">
        <v>1026201689</v>
      </c>
      <c r="L68" s="1">
        <v>1385360624</v>
      </c>
      <c r="M68" s="1">
        <v>15</v>
      </c>
      <c r="N68" s="1">
        <v>3</v>
      </c>
      <c r="O68" s="1">
        <v>3</v>
      </c>
    </row>
    <row r="69" spans="1:15" x14ac:dyDescent="0.3">
      <c r="A69" t="s">
        <v>20</v>
      </c>
      <c r="B69">
        <v>2021</v>
      </c>
      <c r="C69" t="s">
        <v>22</v>
      </c>
      <c r="D69">
        <f>H69/K69</f>
        <v>0.2026542710055155</v>
      </c>
      <c r="E69">
        <f>H69/I69</f>
        <v>8.3803214493360256E-2</v>
      </c>
      <c r="F69">
        <f t="shared" si="6"/>
        <v>9.402658782299822</v>
      </c>
      <c r="G69">
        <f t="shared" si="7"/>
        <v>0.58647200437695468</v>
      </c>
      <c r="H69" s="1">
        <v>211796832</v>
      </c>
      <c r="I69" s="1">
        <v>2527311551</v>
      </c>
      <c r="J69" s="1">
        <v>1482197471</v>
      </c>
      <c r="K69" s="1">
        <v>1045114080</v>
      </c>
      <c r="L69" s="1">
        <v>1595870445</v>
      </c>
      <c r="M69" s="1">
        <v>14</v>
      </c>
      <c r="N69" s="1">
        <v>3</v>
      </c>
      <c r="O69" s="1">
        <v>3</v>
      </c>
    </row>
    <row r="70" spans="1:15" x14ac:dyDescent="0.3">
      <c r="A70" t="s">
        <v>20</v>
      </c>
      <c r="B70">
        <v>2022</v>
      </c>
      <c r="C70" t="s">
        <v>22</v>
      </c>
      <c r="D70">
        <f t="shared" si="4"/>
        <v>0.40999735038494023</v>
      </c>
      <c r="E70">
        <f t="shared" si="5"/>
        <v>0.17735980771847601</v>
      </c>
      <c r="F70">
        <f t="shared" si="6"/>
        <v>9.4641955606975277</v>
      </c>
      <c r="G70">
        <f t="shared" si="7"/>
        <v>0.56741230753819361</v>
      </c>
      <c r="H70" s="1">
        <v>516476743</v>
      </c>
      <c r="I70" s="1">
        <v>2912028095</v>
      </c>
      <c r="J70" s="1">
        <v>1652320581</v>
      </c>
      <c r="K70" s="1">
        <v>1259707514</v>
      </c>
      <c r="L70" s="1">
        <v>2464624691</v>
      </c>
      <c r="M70" s="1">
        <v>13</v>
      </c>
      <c r="N70" s="1">
        <v>3</v>
      </c>
      <c r="O70" s="1">
        <v>3</v>
      </c>
    </row>
    <row r="71" spans="1:15" x14ac:dyDescent="0.3">
      <c r="A71" t="s">
        <v>20</v>
      </c>
      <c r="B71">
        <v>2023</v>
      </c>
      <c r="C71" t="s">
        <v>22</v>
      </c>
      <c r="D71">
        <f t="shared" si="4"/>
        <v>0.2637902336494965</v>
      </c>
      <c r="E71">
        <f t="shared" si="5"/>
        <v>0.12353734371676929</v>
      </c>
      <c r="F71">
        <f t="shared" si="6"/>
        <v>9.4485753501720566</v>
      </c>
      <c r="G71">
        <f t="shared" si="7"/>
        <v>0.53168340613809117</v>
      </c>
      <c r="H71" s="1">
        <v>347035265</v>
      </c>
      <c r="I71" s="1">
        <v>2809152719</v>
      </c>
      <c r="J71" s="1">
        <v>1493579886</v>
      </c>
      <c r="K71" s="1">
        <v>1315572833</v>
      </c>
      <c r="L71" s="1">
        <v>1953242900</v>
      </c>
      <c r="M71" s="1">
        <v>18</v>
      </c>
      <c r="N71" s="1">
        <v>4</v>
      </c>
      <c r="O71" s="1">
        <v>5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Manu-Boateng</dc:creator>
  <cp:lastModifiedBy>Samuel Manu-Boateng</cp:lastModifiedBy>
  <dcterms:created xsi:type="dcterms:W3CDTF">2025-11-03T14:44:06Z</dcterms:created>
  <dcterms:modified xsi:type="dcterms:W3CDTF">2026-01-19T23:29:17Z</dcterms:modified>
</cp:coreProperties>
</file>